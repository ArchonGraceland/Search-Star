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 Star Revenue" sheetId="1" state="visible" r:id="rId3"/>
    <sheet name="Profile Owner Economics" sheetId="2" state="visible" r:id="rId4"/>
    <sheet name="Affiliate Econom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<sst xmlns="http://schemas.openxmlformats.org/spreadsheetml/2006/main" count="108" uniqueCount="108">
  <si>
    <t xml:space="preserve">SEARCH STAR — REVENUE PROJECTIONS</t>
  </si>
  <si>
    <t xml:space="preserve">Five-Year Model · Quarterly Payouts · Hockey Stick Growth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</si>
  <si>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</si>
  <si>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</si>
  <si>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</si>
  <si>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</si>
  <si>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</si>
  <si>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KEY ASSUMPTIONS</t>
  </si>
  <si>
    <t xml:space="preserve">Total profiles (end of year)</t>
  </si>
  <si>
    <t xml:space="preserve">Active profiles (% of total)</t>
  </si>
  <si>
    <t xml:space="preserve">Active profiles (#)</t>
  </si>
  <si>
    <t xml:space="preserve">Querying platforms (end of year)</t>
  </si>
  <si>
    <t xml:space="preserve">Avg public queries/profile/month</t>
  </si>
  <si>
    <t xml:space="preserve">Avg private queries/profile/month</t>
  </si>
  <si>
    <t xml:space="preserve">Avg marketing messages/profile/month</t>
  </si>
  <si>
    <t xml:space="preserve">Avg public tier price ($/query)</t>
  </si>
  <si>
    <t xml:space="preserve">Avg private tier price ($/query)</t>
  </si>
  <si>
    <t xml:space="preserve">Avg marketing tier price ($/msg)</t>
  </si>
  <si>
    <t xml:space="preserve">Search Star take rate</t>
  </si>
  <si>
    <t xml:space="preserve">Affiliate/recruiter referral rate</t>
  </si>
  <si>
    <t xml:space="preserve">Profiles with affiliate referral (%)</t>
  </si>
  <si>
    <t xml:space="preserve">GROSS QUERY VOLUME (Annual)</t>
  </si>
  <si>
    <t xml:space="preserve">Public tier queries</t>
  </si>
  <si>
    <t xml:space="preserve">Private tier queries</t>
  </si>
  <si>
    <t xml:space="preserve">Marketing messages</t>
  </si>
  <si>
    <t xml:space="preserve">Total queries + messages</t>
  </si>
  <si>
    <t xml:space="preserve">GROSS REVENUE (Annual)</t>
  </si>
  <si>
    <t xml:space="preserve">Public tier revenue</t>
  </si>
  <si>
    <t xml:space="preserve">Private tier revenue</t>
  </si>
  <si>
    <t xml:space="preserve">Marketing tier revenue</t>
  </si>
  <si>
    <t xml:space="preserve">Total Gross Revenue</t>
  </si>
  <si>
    <t xml:space="preserve">REVENUE DISTRIBUTION</t>
  </si>
  <si>
    <t xml:space="preserve">Search Star platform revenue (10%)</t>
  </si>
  <si>
    <t xml:space="preserve">Profile owner earnings (net of SS + affiliate)</t>
  </si>
  <si>
    <t xml:space="preserve">Affiliate/recruiter earnings (5% on referred)</t>
  </si>
  <si>
    <t xml:space="preserve">Search Star platform revenue</t>
  </si>
  <si>
    <t xml:space="preserve">SEARCH STAR OPERATING COSTS</t>
  </si>
  <si>
    <t xml:space="preserve">Infrastructure (Supabase, Vercel, CDN)</t>
  </si>
  <si>
    <t xml:space="preserve">Stripe processing (~3% of gross deposits)</t>
  </si>
  <si>
    <t xml:space="preserve">Stripe payouts ($0.25/owner/quarter × 4)</t>
  </si>
  <si>
    <t xml:space="preserve">AI costs (Claude API for profile builder)</t>
  </si>
  <si>
    <t xml:space="preserve">Domain, DNS, security</t>
  </si>
  <si>
    <t xml:space="preserve">Customer support / ops</t>
  </si>
  <si>
    <t xml:space="preserve">Legal / compliance</t>
  </si>
  <si>
    <t xml:space="preserve">Marketing &amp; content</t>
  </si>
  <si>
    <t xml:space="preserve">Founder salary</t>
  </si>
  <si>
    <t xml:space="preserve">Engineering team</t>
  </si>
  <si>
    <t xml:space="preserve">Total Operating Costs</t>
  </si>
  <si>
    <t xml:space="preserve">SEARCH STAR NET INCOME</t>
  </si>
  <si>
    <t xml:space="preserve">Platform revenue</t>
  </si>
  <si>
    <t xml:space="preserve">Total costs</t>
  </si>
  <si>
    <t xml:space="preserve">Net Income (Loss)</t>
  </si>
  <si>
    <t xml:space="preserve">Net Margin</t>
  </si>
  <si>
    <t xml:space="preserve">CUMULATIVE</t>
  </si>
  <si>
    <t xml:space="preserve">Cumulative net income</t>
  </si>
  <si>
    <t xml:space="preserve">Cumulative gross revenue (ecosystem)</t>
  </si>
  <si>
    <t xml:space="preserve">Cumulative paid to profile owners</t>
  </si>
  <si>
    <t xml:space="preserve">PROFILE OWNER — INDIVIDUAL EARNINGS MODEL</t>
  </si>
  <si>
    <t xml:space="preserve">What a single profile owner earns per year (quarterly payouts)</t>
  </si>
  <si>
    <t xml:space="preserve">Low Activity</t>
  </si>
  <si>
    <t xml:space="preserve">Medium Activity</t>
  </si>
  <si>
    <t xml:space="preserve">High Activity</t>
  </si>
  <si>
    <t xml:space="preserve">MONTHLY QUERY VOLUME</t>
  </si>
  <si>
    <t xml:space="preserve">Public queries received/month</t>
  </si>
  <si>
    <t xml:space="preserve">Private queries received/month</t>
  </si>
  <si>
    <t xml:space="preserve">Marketing messages received/month</t>
  </si>
  <si>
    <t xml:space="preserve">YOUR PRICING</t>
  </si>
  <si>
    <t xml:space="preserve">Public tier ($/query)</t>
  </si>
  <si>
    <t xml:space="preserve">Private tier ($/query)</t>
  </si>
  <si>
    <t xml:space="preserve">Marketing tier ($/message)</t>
  </si>
  <si>
    <t xml:space="preserve">MONTHLY GROSS REVENUE</t>
  </si>
  <si>
    <t xml:space="preserve">Public revenue</t>
  </si>
  <si>
    <t xml:space="preserve">Private revenue</t>
  </si>
  <si>
    <t xml:space="preserve">Marketing revenue</t>
  </si>
  <si>
    <t xml:space="preserve">Monthly gross</t>
  </si>
  <si>
    <t xml:space="preserve">DEDUCTIONS (Monthly)</t>
  </si>
  <si>
    <t xml:space="preserve">Search Star fee (10%)</t>
  </si>
  <si>
    <t xml:space="preserve">Stripe payout fee (~$0.08/mo, quarterly)</t>
  </si>
  <si>
    <t xml:space="preserve">Net monthly earnings</t>
  </si>
  <si>
    <t xml:space="preserve">ANNUAL EARNINGS</t>
  </si>
  <si>
    <t xml:space="preserve">Annual net earnings</t>
  </si>
  <si>
    <t xml:space="preserve">YEAR 5 SCENARIO (higher volume + pricing power)</t>
  </si>
  <si>
    <t xml:space="preserve">Public queries/month (Year 5)</t>
  </si>
  <si>
    <t xml:space="preserve">Private queries/month (Year 5)</t>
  </si>
  <si>
    <t xml:space="preserve">Marketing messages/month (Year 5)</t>
  </si>
  <si>
    <t xml:space="preserve">Marketing price (Year 5)</t>
  </si>
  <si>
    <t xml:space="preserve">Year 5 monthly gross</t>
  </si>
  <si>
    <t xml:space="preserve">Year 5 annual net (after 10% fee)</t>
  </si>
  <si>
    <t xml:space="preserve">AFFILIATE / RECRUITER — EARNINGS MODEL</t>
  </si>
  <si>
    <t xml:space="preserve">Single-tier referral · 5% of referred profile's query revenue</t>
  </si>
  <si>
    <t xml:space="preserve">Casual Referrer</t>
  </si>
  <si>
    <t xml:space="preserve">Active Recruiter</t>
  </si>
  <si>
    <t xml:space="preserve">Power Affiliate</t>
  </si>
  <si>
    <t xml:space="preserve">YEAR 1-3 ASSUMPTIONS</t>
  </si>
  <si>
    <t xml:space="preserve">Profiles recruited (total)</t>
  </si>
  <si>
    <t xml:space="preserve">Avg gross revenue per profile/month ($)</t>
  </si>
  <si>
    <t xml:space="preserve">Affiliate take rate</t>
  </si>
  <si>
    <t xml:space="preserve">MONTHLY AFFILIATE EARNINGS (Year 1-3)</t>
  </si>
  <si>
    <t xml:space="preserve">Monthly gross affiliate revenue</t>
  </si>
  <si>
    <t xml:space="preserve">ANNUAL AFFILIATE EARNINGS (Year 1-3)</t>
  </si>
  <si>
    <t xml:space="preserve">Annual affiliate earnings</t>
  </si>
  <si>
    <t xml:space="preserve">YEAR 4-5 HOCKEY STICK SCENARIO</t>
  </si>
  <si>
    <t xml:space="preserve">Profiles recruited by Year 4</t>
  </si>
  <si>
    <t xml:space="preserve">Avg profile rev/month by Year 4 ($)</t>
  </si>
  <si>
    <t xml:space="preserve">Year 4 annual affiliate earnings</t>
  </si>
  <si>
    <t xml:space="preserve">Profiles recruited by Year 5</t>
  </si>
  <si>
    <t xml:space="preserve">Avg profile rev/month by Year 5 ($)</t>
  </si>
  <si>
    <t xml:space="preserve">Year 5 annual affiliate earnings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</si>
</sst>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\$#,##0"/>
    <numFmt numFmtId="169" formatCode="&quot;($&quot;#,##0\)"/>
    <numFmt numFmtId="170" formatCode="\$#,##0;&quot;($&quot;#,##0\)"/>
    <numFmt numFmtId="171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6B"/>
      <name val="Arial"/>
      <family val="0"/>
      <charset val="1"/>
    </font>
    <font>
      <i val="true"/>
      <sz val="10"/>
      <color rgb="FF7676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3A6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D9488"/>
      <name val="Arial"/>
      <family val="0"/>
      <charset val="1"/>
    </font>
    <font>
      <b val="true"/>
      <sz val="11"/>
      <color rgb="FFC5A55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F0FDF4"/>
        <bgColor rgb="FFFFFFFF"/>
      </patternFill>
    </fill>
    <fill>
      <patternFill patternType="solid">
        <fgColor rgb="FF0D9488"/>
        <bgColor rgb="FF008080"/>
      </patternFill>
    </fill>
    <fill>
      <patternFill patternType="solid">
        <fgColor rgb="FFC5A55A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4D4"/>
      </bottom>
      <diagonal/>
    </border>
    <border diagonalUp="false" diagonalDown="false">
      <left/>
      <right/>
      <top style="medium">
        <color rgb="FF1A3A6B"/>
      </top>
      <bottom style="medium">
        <color rgb="FF1A3A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767676"/>
      <rgbColor rgb="FF9999FF"/>
      <rgbColor rgb="FF993366"/>
      <rgbColor rgb="FFF0FDF4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5A55A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6B"/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6" customFormat="false" ht="15" hidden="false" customHeight="false" outlineLevel="0" collapsed="false">
      <c r="A6" s="5" t="s">
        <v>7</v>
      </c>
    </row>
    <row r="7" customFormat="false" ht="15" hidden="false" customHeight="false" outlineLevel="0" collapsed="false">
      <c r="A7" s="6" t="s">
        <v>8</v>
      </c>
      <c r="B7" s="7" t="n">
        <v>5000</v>
      </c>
      <c r="C7" s="7" t="n">
        <v>25000</v>
      </c>
      <c r="D7" s="7" t="n">
        <v>100000</v>
      </c>
      <c r="E7" s="7" t="n">
        <v>500000</v>
      </c>
      <c r="F7" s="7" t="n">
        <v>2000000</v>
      </c>
    </row>
    <row r="8" customFormat="false" ht="15" hidden="false" customHeight="false" outlineLevel="0" collapsed="false">
      <c r="A8" s="6" t="s">
        <v>9</v>
      </c>
      <c r="B8" s="8" t="n">
        <v>0.6</v>
      </c>
      <c r="C8" s="8" t="n">
        <v>0.65</v>
      </c>
      <c r="D8" s="8" t="n">
        <v>0.7</v>
      </c>
      <c r="E8" s="8" t="n">
        <v>0.72</v>
      </c>
      <c r="F8" s="8" t="n">
        <v>0.75</v>
      </c>
    </row>
    <row r="9" customFormat="false" ht="15" hidden="false" customHeight="false" outlineLevel="0" collapsed="false">
      <c r="A9" s="6" t="s">
        <v>10</v>
      </c>
      <c r="B9" s="9" t="n">
        <f aca="false">B7*B8</f>
        <v>3000</v>
      </c>
      <c r="C9" s="9" t="n">
        <f aca="false">C7*C8</f>
        <v>16250</v>
      </c>
      <c r="D9" s="9" t="n">
        <f aca="false">D7*D8</f>
        <v>70000</v>
      </c>
      <c r="E9" s="9" t="n">
        <f aca="false">E7*E8</f>
        <v>360000</v>
      </c>
      <c r="F9" s="9" t="n">
        <f aca="false">F7*F8</f>
        <v>1500000</v>
      </c>
    </row>
    <row r="10" customFormat="false" ht="15" hidden="false" customHeight="false" outlineLevel="0" collapsed="false">
      <c r="A10" s="6" t="s">
        <v>11</v>
      </c>
      <c r="B10" s="7" t="n">
        <v>20</v>
      </c>
      <c r="C10" s="7" t="n">
        <v>80</v>
      </c>
      <c r="D10" s="7" t="n">
        <v>250</v>
      </c>
      <c r="E10" s="7" t="n">
        <v>800</v>
      </c>
      <c r="F10" s="7" t="n">
        <v>2500</v>
      </c>
    </row>
    <row r="12" customFormat="false" ht="15" hidden="false" customHeight="false" outlineLevel="0" collapsed="false">
      <c r="A12" s="6" t="s">
        <v>12</v>
      </c>
      <c r="B12" s="7" t="n">
        <v>50</v>
      </c>
      <c r="C12" s="7" t="n">
        <v>80</v>
      </c>
      <c r="D12" s="7" t="n">
        <v>120</v>
      </c>
      <c r="E12" s="7" t="n">
        <v>150</v>
      </c>
      <c r="F12" s="7" t="n">
        <v>180</v>
      </c>
    </row>
    <row r="13" customFormat="false" ht="15" hidden="false" customHeight="false" outlineLevel="0" collapsed="false">
      <c r="A13" s="6" t="s">
        <v>13</v>
      </c>
      <c r="B13" s="7" t="n">
        <v>5</v>
      </c>
      <c r="C13" s="7" t="n">
        <v>10</v>
      </c>
      <c r="D13" s="7" t="n">
        <v>18</v>
      </c>
      <c r="E13" s="7" t="n">
        <v>25</v>
      </c>
      <c r="F13" s="7" t="n">
        <v>35</v>
      </c>
    </row>
    <row r="14" customFormat="false" ht="15" hidden="false" customHeight="false" outlineLevel="0" collapsed="false">
      <c r="A14" s="6" t="s">
        <v>14</v>
      </c>
      <c r="B14" s="7" t="n">
        <v>1</v>
      </c>
      <c r="C14" s="7" t="n">
        <v>2</v>
      </c>
      <c r="D14" s="7" t="n">
        <v>3</v>
      </c>
      <c r="E14" s="7" t="n">
        <v>4</v>
      </c>
      <c r="F14" s="7" t="n">
        <v>5</v>
      </c>
    </row>
    <row r="16" customFormat="false" ht="15" hidden="false" customHeight="false" outlineLevel="0" collapsed="false">
      <c r="A16" s="6" t="s">
        <v>15</v>
      </c>
      <c r="B16" s="10" t="n">
        <v>0.02</v>
      </c>
      <c r="C16" s="10" t="n">
        <v>0.02</v>
      </c>
      <c r="D16" s="10" t="n">
        <v>0.02</v>
      </c>
      <c r="E16" s="10" t="n">
        <v>0.02</v>
      </c>
      <c r="F16" s="10" t="n">
        <v>0.02</v>
      </c>
    </row>
    <row r="17" customFormat="false" ht="15" hidden="false" customHeight="false" outlineLevel="0" collapsed="false">
      <c r="A17" s="6" t="s">
        <v>16</v>
      </c>
      <c r="B17" s="10" t="n">
        <v>0.5</v>
      </c>
      <c r="C17" s="10" t="n">
        <v>0.5</v>
      </c>
      <c r="D17" s="10" t="n">
        <v>0.5</v>
      </c>
      <c r="E17" s="10" t="n">
        <v>0.5</v>
      </c>
      <c r="F17" s="10" t="n">
        <v>0.5</v>
      </c>
    </row>
    <row r="18" customFormat="false" ht="15" hidden="false" customHeight="false" outlineLevel="0" collapsed="false">
      <c r="A18" s="6" t="s">
        <v>17</v>
      </c>
      <c r="B18" s="10" t="n">
        <v>5</v>
      </c>
      <c r="C18" s="10" t="n">
        <v>5</v>
      </c>
      <c r="D18" s="10" t="n">
        <v>5</v>
      </c>
      <c r="E18" s="10" t="n">
        <v>5</v>
      </c>
      <c r="F18" s="10" t="n">
        <v>5</v>
      </c>
    </row>
    <row r="20" customFormat="false" ht="15" hidden="false" customHeight="false" outlineLevel="0" collapsed="false">
      <c r="A20" s="6" t="s">
        <v>18</v>
      </c>
      <c r="B20" s="8" t="n">
        <v>0.1</v>
      </c>
      <c r="C20" s="8" t="n">
        <v>0.1</v>
      </c>
      <c r="D20" s="8" t="n">
        <v>0.1</v>
      </c>
      <c r="E20" s="8" t="n">
        <v>0.1</v>
      </c>
      <c r="F20" s="8" t="n">
        <v>0.1</v>
      </c>
    </row>
    <row r="21" customFormat="false" ht="15" hidden="false" customHeight="false" outlineLevel="0" collapsed="false">
      <c r="A21" s="6" t="s">
        <v>19</v>
      </c>
      <c r="B21" s="8" t="n">
        <v>0.05</v>
      </c>
      <c r="C21" s="8" t="n">
        <v>0.05</v>
      </c>
      <c r="D21" s="8" t="n">
        <v>0.05</v>
      </c>
      <c r="E21" s="8" t="n">
        <v>0.05</v>
      </c>
      <c r="F21" s="8" t="n">
        <v>0.05</v>
      </c>
    </row>
    <row r="22" customFormat="false" ht="15" hidden="false" customHeight="false" outlineLevel="0" collapsed="false">
      <c r="A22" s="6" t="s">
        <v>20</v>
      </c>
      <c r="B22" s="8" t="n">
        <v>0.3</v>
      </c>
      <c r="C22" s="8" t="n">
        <v>0.25</v>
      </c>
      <c r="D22" s="8" t="n">
        <v>0.2</v>
      </c>
      <c r="E22" s="8" t="n">
        <v>0.18</v>
      </c>
      <c r="F22" s="8" t="n">
        <v>0.15</v>
      </c>
    </row>
    <row r="24" customFormat="false" ht="15" hidden="false" customHeight="false" outlineLevel="0" collapsed="false">
      <c r="A24" s="5" t="s">
        <v>21</v>
      </c>
    </row>
    <row r="25" customFormat="false" ht="15" hidden="false" customHeight="false" outlineLevel="0" collapsed="false">
      <c r="A25" s="6" t="s">
        <v>22</v>
      </c>
      <c r="B25" s="9" t="n">
        <f aca="false">B9*B12*12</f>
        <v>1800000</v>
      </c>
      <c r="C25" s="9" t="n">
        <f aca="false">C9*C12*12</f>
        <v>15600000</v>
      </c>
      <c r="D25" s="9" t="n">
        <f aca="false">D9*D12*12</f>
        <v>100800000</v>
      </c>
      <c r="E25" s="9" t="n">
        <f aca="false">E9*E12*12</f>
        <v>648000000</v>
      </c>
      <c r="F25" s="9" t="n">
        <f aca="false">F9*F12*12</f>
        <v>3240000000</v>
      </c>
    </row>
    <row r="26" customFormat="false" ht="15" hidden="false" customHeight="false" outlineLevel="0" collapsed="false">
      <c r="A26" s="6" t="s">
        <v>23</v>
      </c>
      <c r="B26" s="9" t="n">
        <f aca="false">B9*B13*12</f>
        <v>180000</v>
      </c>
      <c r="C26" s="9" t="n">
        <f aca="false">C9*C13*12</f>
        <v>1950000</v>
      </c>
      <c r="D26" s="9" t="n">
        <f aca="false">D9*D13*12</f>
        <v>15120000</v>
      </c>
      <c r="E26" s="9" t="n">
        <f aca="false">E9*E13*12</f>
        <v>108000000</v>
      </c>
      <c r="F26" s="9" t="n">
        <f aca="false">F9*F13*12</f>
        <v>630000000</v>
      </c>
    </row>
    <row r="27" customFormat="false" ht="15" hidden="false" customHeight="false" outlineLevel="0" collapsed="false">
      <c r="A27" s="6" t="s">
        <v>24</v>
      </c>
      <c r="B27" s="9" t="n">
        <f aca="false">B9*B14*12</f>
        <v>36000</v>
      </c>
      <c r="C27" s="9" t="n">
        <f aca="false">C9*C14*12</f>
        <v>390000</v>
      </c>
      <c r="D27" s="9" t="n">
        <f aca="false">D9*D14*12</f>
        <v>2520000</v>
      </c>
      <c r="E27" s="9" t="n">
        <f aca="false">E9*E14*12</f>
        <v>17280000</v>
      </c>
      <c r="F27" s="9" t="n">
        <f aca="false">F9*F14*12</f>
        <v>90000000</v>
      </c>
    </row>
    <row r="29" customFormat="false" ht="15" hidden="false" customHeight="false" outlineLevel="0" collapsed="false">
      <c r="A29" s="6" t="s">
        <v>25</v>
      </c>
      <c r="B29" s="11" t="n">
        <f aca="false">SUM(B25:B27)</f>
        <v>2016000</v>
      </c>
      <c r="C29" s="11" t="n">
        <f aca="false">SUM(C25:C27)</f>
        <v>17940000</v>
      </c>
      <c r="D29" s="11" t="n">
        <f aca="false">SUM(D25:D27)</f>
        <v>118440000</v>
      </c>
      <c r="E29" s="11" t="n">
        <f aca="false">SUM(E25:E27)</f>
        <v>773280000</v>
      </c>
      <c r="F29" s="11" t="n">
        <f aca="false">SUM(F25:F27)</f>
        <v>3960000000</v>
      </c>
    </row>
    <row r="31" customFormat="false" ht="15" hidden="false" customHeight="false" outlineLevel="0" collapsed="false">
      <c r="A31" s="5" t="s">
        <v>26</v>
      </c>
    </row>
    <row r="32" customFormat="false" ht="15" hidden="false" customHeight="false" outlineLevel="0" collapsed="false">
      <c r="A32" s="6" t="s">
        <v>27</v>
      </c>
      <c r="B32" s="12" t="n">
        <f aca="false">B25*B16</f>
        <v>36000</v>
      </c>
      <c r="C32" s="12" t="n">
        <f aca="false">C25*C16</f>
        <v>312000</v>
      </c>
      <c r="D32" s="12" t="n">
        <f aca="false">D25*D16</f>
        <v>2016000</v>
      </c>
      <c r="E32" s="12" t="n">
        <f aca="false">E25*E16</f>
        <v>12960000</v>
      </c>
      <c r="F32" s="12" t="n">
        <f aca="false">F25*F16</f>
        <v>64800000</v>
      </c>
    </row>
    <row r="33" customFormat="false" ht="15" hidden="false" customHeight="false" outlineLevel="0" collapsed="false">
      <c r="A33" s="6" t="s">
        <v>28</v>
      </c>
      <c r="B33" s="12" t="n">
        <f aca="false">B26*B17</f>
        <v>90000</v>
      </c>
      <c r="C33" s="12" t="n">
        <f aca="false">C26*C17</f>
        <v>975000</v>
      </c>
      <c r="D33" s="12" t="n">
        <f aca="false">D26*D17</f>
        <v>7560000</v>
      </c>
      <c r="E33" s="12" t="n">
        <f aca="false">E26*E17</f>
        <v>54000000</v>
      </c>
      <c r="F33" s="12" t="n">
        <f aca="false">F26*F17</f>
        <v>315000000</v>
      </c>
    </row>
    <row r="34" customFormat="false" ht="15" hidden="false" customHeight="false" outlineLevel="0" collapsed="false">
      <c r="A34" s="6" t="s">
        <v>29</v>
      </c>
      <c r="B34" s="12" t="n">
        <f aca="false">B27*B18</f>
        <v>180000</v>
      </c>
      <c r="C34" s="12" t="n">
        <f aca="false">C27*C18</f>
        <v>1950000</v>
      </c>
      <c r="D34" s="12" t="n">
        <f aca="false">D27*D18</f>
        <v>12600000</v>
      </c>
      <c r="E34" s="12" t="n">
        <f aca="false">E27*E18</f>
        <v>86400000</v>
      </c>
      <c r="F34" s="12" t="n">
        <f aca="false">F27*F18</f>
        <v>450000000</v>
      </c>
    </row>
    <row r="36" customFormat="false" ht="15" hidden="false" customHeight="false" outlineLevel="0" collapsed="false">
      <c r="A36" s="6" t="s">
        <v>30</v>
      </c>
      <c r="B36" s="13" t="n">
        <f aca="false">SUM(B32:B34)</f>
        <v>306000</v>
      </c>
      <c r="C36" s="13" t="n">
        <f aca="false">SUM(C32:C34)</f>
        <v>3237000</v>
      </c>
      <c r="D36" s="13" t="n">
        <f aca="false">SUM(D32:D34)</f>
        <v>22176000</v>
      </c>
      <c r="E36" s="13" t="n">
        <f aca="false">SUM(E32:E34)</f>
        <v>153360000</v>
      </c>
      <c r="F36" s="13" t="n">
        <f aca="false">SUM(F32:F34)</f>
        <v>829800000</v>
      </c>
    </row>
    <row r="38" customFormat="false" ht="15" hidden="false" customHeight="false" outlineLevel="0" collapsed="false">
      <c r="A38" s="5" t="s">
        <v>31</v>
      </c>
    </row>
    <row r="39" customFormat="false" ht="15" hidden="false" customHeight="false" outlineLevel="0" collapsed="false">
      <c r="A39" s="6" t="s">
        <v>32</v>
      </c>
      <c r="B39" s="12" t="n">
        <f aca="false">B36*B20</f>
        <v>30600</v>
      </c>
      <c r="C39" s="12" t="n">
        <f aca="false">C36*C20</f>
        <v>323700</v>
      </c>
      <c r="D39" s="12" t="n">
        <f aca="false">D36*D20</f>
        <v>2217600</v>
      </c>
      <c r="E39" s="12" t="n">
        <f aca="false">E36*E20</f>
        <v>15336000</v>
      </c>
      <c r="F39" s="12" t="n">
        <f aca="false">F36*F20</f>
        <v>82980000</v>
      </c>
    </row>
    <row r="40" customFormat="false" ht="15" hidden="false" customHeight="false" outlineLevel="0" collapsed="false">
      <c r="A40" s="6" t="s">
        <v>33</v>
      </c>
      <c r="B40" s="12" t="n">
        <f aca="false">B36-B39-B41</f>
        <v>270810</v>
      </c>
      <c r="C40" s="12" t="n">
        <f aca="false">C36-C39-C41</f>
        <v>2872837.5</v>
      </c>
      <c r="D40" s="12" t="n">
        <f aca="false">D36-D39-D41</f>
        <v>19736640</v>
      </c>
      <c r="E40" s="12" t="n">
        <f aca="false">E36-E39-E41</f>
        <v>136643760</v>
      </c>
      <c r="F40" s="12" t="n">
        <f aca="false">F36-F39-F41</f>
        <v>740596500</v>
      </c>
    </row>
    <row r="41" customFormat="false" ht="15" hidden="false" customHeight="false" outlineLevel="0" collapsed="false">
      <c r="A41" s="6" t="s">
        <v>34</v>
      </c>
      <c r="B41" s="12" t="n">
        <f aca="false">B36*B21*B22</f>
        <v>4590</v>
      </c>
      <c r="C41" s="12" t="n">
        <f aca="false">C36*C21*C22</f>
        <v>40462.5</v>
      </c>
      <c r="D41" s="12" t="n">
        <f aca="false">D36*D21*D22</f>
        <v>221760</v>
      </c>
      <c r="E41" s="12" t="n">
        <f aca="false">E36*E21*E22</f>
        <v>1380240</v>
      </c>
      <c r="F41" s="12" t="n">
        <f aca="false">F36*F21*F22</f>
        <v>6223500</v>
      </c>
    </row>
    <row r="43" customFormat="false" ht="15" hidden="false" customHeight="false" outlineLevel="0" collapsed="false">
      <c r="A43" s="6" t="s">
        <v>35</v>
      </c>
      <c r="B43" s="14" t="n">
        <f aca="false">B39</f>
        <v>30600</v>
      </c>
      <c r="C43" s="14" t="n">
        <f aca="false">C39</f>
        <v>323700</v>
      </c>
      <c r="D43" s="14" t="n">
        <f aca="false">D39</f>
        <v>2217600</v>
      </c>
      <c r="E43" s="14" t="n">
        <f aca="false">E39</f>
        <v>15336000</v>
      </c>
      <c r="F43" s="14" t="n">
        <f aca="false">F39</f>
        <v>82980000</v>
      </c>
    </row>
    <row r="45" customFormat="false" ht="15" hidden="false" customHeight="false" outlineLevel="0" collapsed="false">
      <c r="A45" s="5" t="s">
        <v>36</v>
      </c>
    </row>
    <row r="46" customFormat="false" ht="15" hidden="false" customHeight="false" outlineLevel="0" collapsed="false">
      <c r="A46" s="6" t="s">
        <v>37</v>
      </c>
      <c r="B46" s="15" t="n">
        <v>3600</v>
      </c>
      <c r="C46" s="15" t="n">
        <v>18000</v>
      </c>
      <c r="D46" s="15" t="n">
        <v>60000</v>
      </c>
      <c r="E46" s="15" t="n">
        <v>180000</v>
      </c>
      <c r="F46" s="15" t="n">
        <v>480000</v>
      </c>
    </row>
    <row r="47" customFormat="false" ht="15" hidden="false" customHeight="false" outlineLevel="0" collapsed="false">
      <c r="A47" s="6" t="s">
        <v>38</v>
      </c>
      <c r="B47" s="12" t="n">
        <f aca="false">B36*0.03</f>
        <v>9180</v>
      </c>
      <c r="C47" s="12" t="n">
        <f aca="false">C36*0.03</f>
        <v>97110</v>
      </c>
      <c r="D47" s="12" t="n">
        <f aca="false">D36*0.03</f>
        <v>665280</v>
      </c>
      <c r="E47" s="12" t="n">
        <f aca="false">E36*0.03</f>
        <v>4600800</v>
      </c>
      <c r="F47" s="12" t="n">
        <f aca="false">F36*0.03</f>
        <v>24894000</v>
      </c>
    </row>
    <row r="48" customFormat="false" ht="15" hidden="false" customHeight="false" outlineLevel="0" collapsed="false">
      <c r="A48" s="6" t="s">
        <v>39</v>
      </c>
      <c r="B48" s="12" t="n">
        <f aca="false">B9*0.25*4</f>
        <v>3000</v>
      </c>
      <c r="C48" s="12" t="n">
        <f aca="false">C9*0.25*4</f>
        <v>16250</v>
      </c>
      <c r="D48" s="12" t="n">
        <f aca="false">D9*0.25*4</f>
        <v>70000</v>
      </c>
      <c r="E48" s="12" t="n">
        <f aca="false">E9*0.25*4</f>
        <v>360000</v>
      </c>
      <c r="F48" s="12" t="n">
        <f aca="false">F9*0.25*4</f>
        <v>1500000</v>
      </c>
    </row>
    <row r="49" customFormat="false" ht="15" hidden="false" customHeight="false" outlineLevel="0" collapsed="false">
      <c r="A49" s="6" t="s">
        <v>40</v>
      </c>
      <c r="B49" s="15" t="n">
        <v>2400</v>
      </c>
      <c r="C49" s="15" t="n">
        <v>12000</v>
      </c>
      <c r="D49" s="15" t="n">
        <v>36000</v>
      </c>
      <c r="E49" s="15" t="n">
        <v>100000</v>
      </c>
      <c r="F49" s="15" t="n">
        <v>250000</v>
      </c>
    </row>
    <row r="50" customFormat="false" ht="15" hidden="false" customHeight="false" outlineLevel="0" collapsed="false">
      <c r="A50" s="6" t="s">
        <v>41</v>
      </c>
      <c r="B50" s="15" t="n">
        <v>500</v>
      </c>
      <c r="C50" s="15" t="n">
        <v>1200</v>
      </c>
      <c r="D50" s="15" t="n">
        <v>2400</v>
      </c>
      <c r="E50" s="15" t="n">
        <v>5000</v>
      </c>
      <c r="F50" s="15" t="n">
        <v>12000</v>
      </c>
    </row>
    <row r="51" customFormat="false" ht="15" hidden="false" customHeight="false" outlineLevel="0" collapsed="false">
      <c r="A51" s="6" t="s">
        <v>42</v>
      </c>
      <c r="B51" s="15" t="n">
        <v>0</v>
      </c>
      <c r="C51" s="15" t="n">
        <v>24000</v>
      </c>
      <c r="D51" s="15" t="n">
        <v>72000</v>
      </c>
      <c r="E51" s="15" t="n">
        <v>240000</v>
      </c>
      <c r="F51" s="15" t="n">
        <v>600000</v>
      </c>
    </row>
    <row r="52" customFormat="false" ht="15" hidden="false" customHeight="false" outlineLevel="0" collapsed="false">
      <c r="A52" s="6" t="s">
        <v>43</v>
      </c>
      <c r="B52" s="15" t="n">
        <v>5000</v>
      </c>
      <c r="C52" s="15" t="n">
        <v>15000</v>
      </c>
      <c r="D52" s="15" t="n">
        <v>30000</v>
      </c>
      <c r="E52" s="15" t="n">
        <v>80000</v>
      </c>
      <c r="F52" s="15" t="n">
        <v>200000</v>
      </c>
    </row>
    <row r="53" customFormat="false" ht="15" hidden="false" customHeight="false" outlineLevel="0" collapsed="false">
      <c r="A53" s="6" t="s">
        <v>44</v>
      </c>
      <c r="B53" s="15" t="n">
        <v>6000</v>
      </c>
      <c r="C53" s="15" t="n">
        <v>24000</v>
      </c>
      <c r="D53" s="15" t="n">
        <v>60000</v>
      </c>
      <c r="E53" s="15" t="n">
        <v>300000</v>
      </c>
      <c r="F53" s="15" t="n">
        <v>1000000</v>
      </c>
    </row>
    <row r="54" customFormat="false" ht="15" hidden="false" customHeight="false" outlineLevel="0" collapsed="false">
      <c r="A54" s="6" t="s">
        <v>45</v>
      </c>
      <c r="B54" s="15" t="n">
        <v>0</v>
      </c>
      <c r="C54" s="15" t="n">
        <v>60000</v>
      </c>
      <c r="D54" s="15" t="n">
        <v>120000</v>
      </c>
      <c r="E54" s="15" t="n">
        <v>200000</v>
      </c>
      <c r="F54" s="15" t="n">
        <v>300000</v>
      </c>
    </row>
    <row r="55" customFormat="false" ht="15" hidden="false" customHeight="false" outlineLevel="0" collapsed="false">
      <c r="A55" s="6" t="s">
        <v>46</v>
      </c>
      <c r="B55" s="15" t="n">
        <v>0</v>
      </c>
      <c r="C55" s="15" t="n">
        <v>48000</v>
      </c>
      <c r="D55" s="15" t="n">
        <v>150000</v>
      </c>
      <c r="E55" s="15" t="n">
        <v>500000</v>
      </c>
      <c r="F55" s="15" t="n">
        <v>1200000</v>
      </c>
    </row>
    <row r="57" customFormat="false" ht="15" hidden="false" customHeight="false" outlineLevel="0" collapsed="false">
      <c r="A57" s="6" t="s">
        <v>47</v>
      </c>
      <c r="B57" s="13" t="n">
        <f aca="false">SUM(B46:B55)</f>
        <v>29680</v>
      </c>
      <c r="C57" s="13" t="n">
        <f aca="false">SUM(C46:C55)</f>
        <v>315560</v>
      </c>
      <c r="D57" s="13" t="n">
        <f aca="false">SUM(D46:D55)</f>
        <v>1265680</v>
      </c>
      <c r="E57" s="13" t="n">
        <f aca="false">SUM(E46:E55)</f>
        <v>6565800</v>
      </c>
      <c r="F57" s="13" t="n">
        <f aca="false">SUM(F46:F55)</f>
        <v>30436000</v>
      </c>
    </row>
    <row r="59" customFormat="false" ht="15" hidden="false" customHeight="false" outlineLevel="0" collapsed="false">
      <c r="A59" s="5" t="s">
        <v>48</v>
      </c>
    </row>
    <row r="60" customFormat="false" ht="15" hidden="false" customHeight="false" outlineLevel="0" collapsed="false">
      <c r="A60" s="6" t="s">
        <v>49</v>
      </c>
      <c r="B60" s="12" t="n">
        <f aca="false">B43</f>
        <v>30600</v>
      </c>
      <c r="C60" s="12" t="n">
        <f aca="false">C43</f>
        <v>323700</v>
      </c>
      <c r="D60" s="12" t="n">
        <f aca="false">D43</f>
        <v>2217600</v>
      </c>
      <c r="E60" s="12" t="n">
        <f aca="false">E43</f>
        <v>15336000</v>
      </c>
      <c r="F60" s="12" t="n">
        <f aca="false">F43</f>
        <v>82980000</v>
      </c>
    </row>
    <row r="61" customFormat="false" ht="15" hidden="false" customHeight="false" outlineLevel="0" collapsed="false">
      <c r="A61" s="6" t="s">
        <v>50</v>
      </c>
      <c r="B61" s="16" t="n">
        <f aca="false">B57</f>
        <v>29680</v>
      </c>
      <c r="C61" s="16" t="n">
        <f aca="false">C57</f>
        <v>315560</v>
      </c>
      <c r="D61" s="16" t="n">
        <f aca="false">D57</f>
        <v>1265680</v>
      </c>
      <c r="E61" s="16" t="n">
        <f aca="false">E57</f>
        <v>6565800</v>
      </c>
      <c r="F61" s="16" t="n">
        <f aca="false">F57</f>
        <v>30436000</v>
      </c>
    </row>
    <row r="63" customFormat="false" ht="15" hidden="false" customHeight="false" outlineLevel="0" collapsed="false">
      <c r="A63" s="6" t="s">
        <v>51</v>
      </c>
      <c r="B63" s="17" t="n">
        <f aca="false">B60-B61</f>
        <v>920</v>
      </c>
      <c r="C63" s="17" t="n">
        <f aca="false">C60-C61</f>
        <v>8140</v>
      </c>
      <c r="D63" s="17" t="n">
        <f aca="false">D60-D61</f>
        <v>951920</v>
      </c>
      <c r="E63" s="17" t="n">
        <f aca="false">E60-E61</f>
        <v>8770200</v>
      </c>
      <c r="F63" s="17" t="n">
        <f aca="false">F60-F61</f>
        <v>52544000</v>
      </c>
    </row>
    <row r="64" customFormat="false" ht="15" hidden="false" customHeight="false" outlineLevel="0" collapsed="false">
      <c r="A64" s="6" t="s">
        <v>52</v>
      </c>
      <c r="B64" s="18" t="n">
        <f aca="false">IF(B60=0,0,B63/B60)</f>
        <v>0.0300653594771242</v>
      </c>
      <c r="C64" s="18" t="n">
        <f aca="false">IF(C60=0,0,C63/C60)</f>
        <v>0.0251467408093914</v>
      </c>
      <c r="D64" s="18" t="n">
        <f aca="false">IF(D60=0,0,D63/D60)</f>
        <v>0.429256854256854</v>
      </c>
      <c r="E64" s="18" t="n">
        <f aca="false">IF(E60=0,0,E63/E60)</f>
        <v>0.571870109546166</v>
      </c>
      <c r="F64" s="18" t="n">
        <f aca="false">IF(F60=0,0,F63/F60)</f>
        <v>0.633212822366835</v>
      </c>
    </row>
    <row r="66" customFormat="false" ht="15" hidden="false" customHeight="false" outlineLevel="0" collapsed="false">
      <c r="A66" s="5" t="s">
        <v>53</v>
      </c>
    </row>
    <row r="67" customFormat="false" ht="15" hidden="false" customHeight="false" outlineLevel="0" collapsed="false">
      <c r="A67" s="6" t="s">
        <v>54</v>
      </c>
      <c r="B67" s="19" t="n">
        <f aca="false">SUM(B63:B63)</f>
        <v>920</v>
      </c>
      <c r="C67" s="19" t="n">
        <f aca="false">SUM(B63:C63)</f>
        <v>9060</v>
      </c>
      <c r="D67" s="19" t="n">
        <f aca="false">SUM(B63:D63)</f>
        <v>960980</v>
      </c>
      <c r="E67" s="19" t="n">
        <f aca="false">SUM(B63:E63)</f>
        <v>9731180</v>
      </c>
      <c r="F67" s="19" t="n">
        <f aca="false">SUM(B63:F63)</f>
        <v>62275180</v>
      </c>
    </row>
    <row r="68" customFormat="false" ht="15" hidden="false" customHeight="false" outlineLevel="0" collapsed="false">
      <c r="A68" s="6" t="s">
        <v>55</v>
      </c>
      <c r="B68" s="12" t="n">
        <f aca="false">SUM(B36:B36)</f>
        <v>306000</v>
      </c>
      <c r="C68" s="12" t="n">
        <f aca="false">SUM(B36:C36)</f>
        <v>3543000</v>
      </c>
      <c r="D68" s="12" t="n">
        <f aca="false">SUM(B36:D36)</f>
        <v>25719000</v>
      </c>
      <c r="E68" s="12" t="n">
        <f aca="false">SUM(B36:E36)</f>
        <v>179079000</v>
      </c>
      <c r="F68" s="12" t="n">
        <f aca="false">SUM(B36:F36)</f>
        <v>1008879000</v>
      </c>
    </row>
    <row r="69" customFormat="false" ht="15" hidden="false" customHeight="false" outlineLevel="0" collapsed="false">
      <c r="A69" s="6" t="s">
        <v>56</v>
      </c>
      <c r="B69" s="12" t="n">
        <f aca="false">SUM(B40:B40)</f>
        <v>270810</v>
      </c>
      <c r="C69" s="12" t="n">
        <f aca="false">SUM(B40:C40)</f>
        <v>3143647.5</v>
      </c>
      <c r="D69" s="12" t="n">
        <f aca="false">SUM(B40:D40)</f>
        <v>22880287.5</v>
      </c>
      <c r="E69" s="12" t="n">
        <f aca="false">SUM(B40:E40)</f>
        <v>159524047.5</v>
      </c>
      <c r="F69" s="12" t="n">
        <f aca="false">SUM(B40:F40)</f>
        <v>900120547.5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20"/>
      <c r="B4" s="21" t="s">
        <v>59</v>
      </c>
      <c r="C4" s="21" t="s">
        <v>60</v>
      </c>
      <c r="D4" s="21" t="s">
        <v>61</v>
      </c>
    </row>
    <row r="6" customFormat="false" ht="15" hidden="false" customHeight="false" outlineLevel="0" collapsed="false">
      <c r="A6" s="5" t="s">
        <v>62</v>
      </c>
    </row>
    <row r="7" customFormat="false" ht="15" hidden="false" customHeight="false" outlineLevel="0" collapsed="false">
      <c r="A7" s="6" t="s">
        <v>63</v>
      </c>
      <c r="B7" s="7" t="n">
        <v>20</v>
      </c>
      <c r="C7" s="7" t="n">
        <v>80</v>
      </c>
      <c r="D7" s="7" t="n">
        <v>200</v>
      </c>
    </row>
    <row r="8" customFormat="false" ht="15" hidden="false" customHeight="false" outlineLevel="0" collapsed="false">
      <c r="A8" s="6" t="s">
        <v>64</v>
      </c>
      <c r="B8" s="7" t="n">
        <v>2</v>
      </c>
      <c r="C8" s="7" t="n">
        <v>10</v>
      </c>
      <c r="D8" s="7" t="n">
        <v>30</v>
      </c>
    </row>
    <row r="9" customFormat="false" ht="15" hidden="false" customHeight="false" outlineLevel="0" collapsed="false">
      <c r="A9" s="6" t="s">
        <v>65</v>
      </c>
      <c r="B9" s="22" t="n">
        <v>0.5</v>
      </c>
      <c r="C9" s="22" t="n">
        <v>2</v>
      </c>
      <c r="D9" s="22" t="n">
        <v>5</v>
      </c>
    </row>
    <row r="11" customFormat="false" ht="15" hidden="false" customHeight="false" outlineLevel="0" collapsed="false">
      <c r="A11" s="5" t="s">
        <v>66</v>
      </c>
    </row>
    <row r="12" customFormat="false" ht="15" hidden="false" customHeight="false" outlineLevel="0" collapsed="false">
      <c r="A12" s="6" t="s">
        <v>67</v>
      </c>
      <c r="B12" s="10" t="n">
        <v>0.02</v>
      </c>
      <c r="C12" s="10" t="n">
        <v>0.02</v>
      </c>
      <c r="D12" s="10" t="n">
        <v>0.03</v>
      </c>
    </row>
    <row r="13" customFormat="false" ht="15" hidden="false" customHeight="false" outlineLevel="0" collapsed="false">
      <c r="A13" s="6" t="s">
        <v>68</v>
      </c>
      <c r="B13" s="10" t="n">
        <v>0.3</v>
      </c>
      <c r="C13" s="10" t="n">
        <v>0.5</v>
      </c>
      <c r="D13" s="10" t="n">
        <v>0.75</v>
      </c>
    </row>
    <row r="14" customFormat="false" ht="15" hidden="false" customHeight="false" outlineLevel="0" collapsed="false">
      <c r="A14" s="6" t="s">
        <v>69</v>
      </c>
      <c r="B14" s="10" t="n">
        <v>3</v>
      </c>
      <c r="C14" s="10" t="n">
        <v>5</v>
      </c>
      <c r="D14" s="10" t="n">
        <v>10</v>
      </c>
    </row>
    <row r="16" customFormat="false" ht="15" hidden="false" customHeight="false" outlineLevel="0" collapsed="false">
      <c r="A16" s="5" t="s">
        <v>70</v>
      </c>
    </row>
    <row r="17" customFormat="false" ht="15" hidden="false" customHeight="false" outlineLevel="0" collapsed="false">
      <c r="A17" s="6" t="s">
        <v>71</v>
      </c>
      <c r="B17" s="23" t="n">
        <f aca="false">B7*B12</f>
        <v>0.4</v>
      </c>
      <c r="C17" s="23" t="n">
        <f aca="false">C7*C12</f>
        <v>1.6</v>
      </c>
      <c r="D17" s="23" t="n">
        <f aca="false">D7*D12</f>
        <v>6</v>
      </c>
    </row>
    <row r="18" customFormat="false" ht="15" hidden="false" customHeight="false" outlineLevel="0" collapsed="false">
      <c r="A18" s="6" t="s">
        <v>72</v>
      </c>
      <c r="B18" s="23" t="n">
        <f aca="false">B8*B13</f>
        <v>0.6</v>
      </c>
      <c r="C18" s="23" t="n">
        <f aca="false">C8*C13</f>
        <v>5</v>
      </c>
      <c r="D18" s="23" t="n">
        <f aca="false">D8*D13</f>
        <v>22.5</v>
      </c>
    </row>
    <row r="19" customFormat="false" ht="15" hidden="false" customHeight="false" outlineLevel="0" collapsed="false">
      <c r="A19" s="6" t="s">
        <v>73</v>
      </c>
      <c r="B19" s="23" t="n">
        <f aca="false">B9*B14</f>
        <v>1.5</v>
      </c>
      <c r="C19" s="23" t="n">
        <f aca="false">C9*C14</f>
        <v>10</v>
      </c>
      <c r="D19" s="23" t="n">
        <f aca="false">D9*D14</f>
        <v>50</v>
      </c>
    </row>
    <row r="20" customFormat="false" ht="15" hidden="false" customHeight="false" outlineLevel="0" collapsed="false">
      <c r="A20" s="6" t="s">
        <v>74</v>
      </c>
      <c r="B20" s="24" t="n">
        <f aca="false">SUM(B17:B19)</f>
        <v>2.5</v>
      </c>
      <c r="C20" s="24" t="n">
        <f aca="false">SUM(C17:C19)</f>
        <v>16.6</v>
      </c>
      <c r="D20" s="24" t="n">
        <f aca="false">SUM(D17:D19)</f>
        <v>78.5</v>
      </c>
    </row>
    <row r="22" customFormat="false" ht="15" hidden="false" customHeight="false" outlineLevel="0" collapsed="false">
      <c r="A22" s="5" t="s">
        <v>75</v>
      </c>
    </row>
    <row r="23" customFormat="false" ht="15" hidden="false" customHeight="false" outlineLevel="0" collapsed="false">
      <c r="A23" s="6" t="s">
        <v>76</v>
      </c>
      <c r="B23" s="23" t="n">
        <f aca="false">B20*0.1</f>
        <v>0.25</v>
      </c>
      <c r="C23" s="23" t="n">
        <f aca="false">C20*0.1</f>
        <v>1.66</v>
      </c>
      <c r="D23" s="23" t="n">
        <f aca="false">D20*0.1</f>
        <v>7.85</v>
      </c>
    </row>
    <row r="24" customFormat="false" ht="15" hidden="false" customHeight="false" outlineLevel="0" collapsed="false">
      <c r="A24" s="6" t="s">
        <v>77</v>
      </c>
      <c r="B24" s="10" t="n">
        <v>0.08</v>
      </c>
      <c r="C24" s="10" t="n">
        <v>0.08</v>
      </c>
      <c r="D24" s="10" t="n">
        <v>0.08</v>
      </c>
    </row>
    <row r="25" customFormat="false" ht="15" hidden="false" customHeight="false" outlineLevel="0" collapsed="false">
      <c r="A25" s="6" t="s">
        <v>78</v>
      </c>
      <c r="B25" s="25" t="n">
        <f aca="false">B20-B23-B24</f>
        <v>2.17</v>
      </c>
      <c r="C25" s="25" t="n">
        <f aca="false">C20-C23-C24</f>
        <v>14.86</v>
      </c>
      <c r="D25" s="25" t="n">
        <f aca="false">D20-D23-D24</f>
        <v>70.57</v>
      </c>
    </row>
    <row r="27" customFormat="false" ht="15" hidden="false" customHeight="false" outlineLevel="0" collapsed="false">
      <c r="A27" s="5" t="s">
        <v>79</v>
      </c>
    </row>
    <row r="28" customFormat="false" ht="15" hidden="false" customHeight="false" outlineLevel="0" collapsed="false">
      <c r="A28" s="6" t="s">
        <v>80</v>
      </c>
      <c r="B28" s="14" t="n">
        <f aca="false">B25*12</f>
        <v>26.04</v>
      </c>
      <c r="C28" s="14" t="n">
        <f aca="false">C25*12</f>
        <v>178.32</v>
      </c>
      <c r="D28" s="14" t="n">
        <f aca="false">D25*12</f>
        <v>846.84</v>
      </c>
    </row>
    <row r="30" customFormat="false" ht="15" hidden="false" customHeight="false" outlineLevel="0" collapsed="false">
      <c r="A30" s="5" t="s">
        <v>81</v>
      </c>
    </row>
    <row r="31" customFormat="false" ht="15" hidden="false" customHeight="false" outlineLevel="0" collapsed="false">
      <c r="A31" s="6" t="s">
        <v>82</v>
      </c>
      <c r="B31" s="7" t="n">
        <v>50</v>
      </c>
      <c r="C31" s="7" t="n">
        <v>150</v>
      </c>
      <c r="D31" s="7" t="n">
        <v>400</v>
      </c>
    </row>
    <row r="32" customFormat="false" ht="15" hidden="false" customHeight="false" outlineLevel="0" collapsed="false">
      <c r="A32" s="6" t="s">
        <v>83</v>
      </c>
      <c r="B32" s="7" t="n">
        <v>5</v>
      </c>
      <c r="C32" s="7" t="n">
        <v>20</v>
      </c>
      <c r="D32" s="7" t="n">
        <v>60</v>
      </c>
    </row>
    <row r="33" customFormat="false" ht="15" hidden="false" customHeight="false" outlineLevel="0" collapsed="false">
      <c r="A33" s="6" t="s">
        <v>84</v>
      </c>
      <c r="B33" s="7" t="n">
        <v>2</v>
      </c>
      <c r="C33" s="7" t="n">
        <v>5</v>
      </c>
      <c r="D33" s="7" t="n">
        <v>12</v>
      </c>
    </row>
    <row r="34" customFormat="false" ht="15" hidden="false" customHeight="false" outlineLevel="0" collapsed="false">
      <c r="A34" s="6" t="s">
        <v>85</v>
      </c>
      <c r="B34" s="10" t="n">
        <v>5</v>
      </c>
      <c r="C34" s="10" t="n">
        <v>8</v>
      </c>
      <c r="D34" s="10" t="n">
        <v>15</v>
      </c>
    </row>
    <row r="35" customFormat="false" ht="15" hidden="false" customHeight="false" outlineLevel="0" collapsed="false">
      <c r="A35" s="6" t="s">
        <v>86</v>
      </c>
      <c r="B35" s="24" t="n">
        <f aca="false">B31*B12+B32*B13+B33*B34</f>
        <v>12.5</v>
      </c>
      <c r="C35" s="24" t="n">
        <f aca="false">C31*C12+C32*C13+C33*C34</f>
        <v>53</v>
      </c>
      <c r="D35" s="24" t="n">
        <f aca="false">D31*D12+D32*D13+D33*D34</f>
        <v>237</v>
      </c>
    </row>
    <row r="36" customFormat="false" ht="15" hidden="false" customHeight="false" outlineLevel="0" collapsed="false">
      <c r="A36" s="6" t="s">
        <v>87</v>
      </c>
      <c r="B36" s="14" t="n">
        <f aca="false">B35*0.9*12</f>
        <v>135</v>
      </c>
      <c r="C36" s="14" t="n">
        <f aca="false">C35*0.9*12</f>
        <v>572.4</v>
      </c>
      <c r="D36" s="14" t="n">
        <f aca="false">D35*0.9*12</f>
        <v>2559.6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A55A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26"/>
      <c r="B4" s="27" t="s">
        <v>90</v>
      </c>
      <c r="C4" s="27" t="s">
        <v>91</v>
      </c>
      <c r="D4" s="27" t="s">
        <v>92</v>
      </c>
    </row>
    <row r="6" customFormat="false" ht="15" hidden="false" customHeight="false" outlineLevel="0" collapsed="false">
      <c r="A6" s="5" t="s">
        <v>93</v>
      </c>
    </row>
    <row r="7" customFormat="false" ht="15" hidden="false" customHeight="false" outlineLevel="0" collapsed="false">
      <c r="A7" s="6" t="s">
        <v>94</v>
      </c>
      <c r="B7" s="7" t="n">
        <v>50</v>
      </c>
      <c r="C7" s="7" t="n">
        <v>250</v>
      </c>
      <c r="D7" s="7" t="n">
        <v>1000</v>
      </c>
    </row>
    <row r="8" customFormat="false" ht="15" hidden="false" customHeight="false" outlineLevel="0" collapsed="false">
      <c r="A8" s="6" t="s">
        <v>95</v>
      </c>
      <c r="B8" s="15" t="n">
        <v>10</v>
      </c>
      <c r="C8" s="15" t="n">
        <v>20</v>
      </c>
      <c r="D8" s="15" t="n">
        <v>30</v>
      </c>
    </row>
    <row r="9" customFormat="false" ht="15" hidden="false" customHeight="false" outlineLevel="0" collapsed="false">
      <c r="A9" s="6" t="s">
        <v>96</v>
      </c>
      <c r="B9" s="8" t="n">
        <v>0.05</v>
      </c>
      <c r="C9" s="8" t="n">
        <v>0.05</v>
      </c>
      <c r="D9" s="8" t="n">
        <v>0.05</v>
      </c>
    </row>
    <row r="11" customFormat="false" ht="15" hidden="false" customHeight="false" outlineLevel="0" collapsed="false">
      <c r="A11" s="5" t="s">
        <v>97</v>
      </c>
    </row>
    <row r="12" customFormat="false" ht="15" hidden="false" customHeight="false" outlineLevel="0" collapsed="false">
      <c r="A12" s="6" t="s">
        <v>98</v>
      </c>
      <c r="B12" s="23" t="n">
        <f aca="false">B7*B8*B9</f>
        <v>25</v>
      </c>
      <c r="C12" s="23" t="n">
        <f aca="false">C7*C8*C9</f>
        <v>250</v>
      </c>
      <c r="D12" s="23" t="n">
        <f aca="false">D7*D8*D9</f>
        <v>1500</v>
      </c>
    </row>
    <row r="14" customFormat="false" ht="15" hidden="false" customHeight="false" outlineLevel="0" collapsed="false">
      <c r="A14" s="5" t="s">
        <v>99</v>
      </c>
    </row>
    <row r="15" customFormat="false" ht="15" hidden="false" customHeight="false" outlineLevel="0" collapsed="false">
      <c r="A15" s="6" t="s">
        <v>100</v>
      </c>
      <c r="B15" s="28" t="n">
        <f aca="false">B12*12</f>
        <v>300</v>
      </c>
      <c r="C15" s="28" t="n">
        <f aca="false">C12*12</f>
        <v>3000</v>
      </c>
      <c r="D15" s="28" t="n">
        <f aca="false">D12*12</f>
        <v>18000</v>
      </c>
    </row>
    <row r="17" customFormat="false" ht="15" hidden="false" customHeight="false" outlineLevel="0" collapsed="false">
      <c r="A17" s="5" t="s">
        <v>101</v>
      </c>
    </row>
    <row r="18" customFormat="false" ht="15" hidden="false" customHeight="false" outlineLevel="0" collapsed="false">
      <c r="A18" s="6" t="s">
        <v>102</v>
      </c>
      <c r="B18" s="7" t="n">
        <v>100</v>
      </c>
      <c r="C18" s="7" t="n">
        <v>500</v>
      </c>
      <c r="D18" s="7" t="n">
        <v>2500</v>
      </c>
    </row>
    <row r="19" customFormat="false" ht="15" hidden="false" customHeight="false" outlineLevel="0" collapsed="false">
      <c r="A19" s="6" t="s">
        <v>103</v>
      </c>
      <c r="B19" s="15" t="n">
        <v>30</v>
      </c>
      <c r="C19" s="15" t="n">
        <v>50</v>
      </c>
      <c r="D19" s="15" t="n">
        <v>80</v>
      </c>
    </row>
    <row r="20" customFormat="false" ht="15" hidden="false" customHeight="false" outlineLevel="0" collapsed="false">
      <c r="A20" s="6" t="s">
        <v>104</v>
      </c>
      <c r="B20" s="29" t="n">
        <f aca="false">B18*B19*0.05*12</f>
        <v>1800</v>
      </c>
      <c r="C20" s="29" t="n">
        <f aca="false">C18*C19*0.05*12</f>
        <v>15000</v>
      </c>
      <c r="D20" s="29" t="n">
        <f aca="false">D18*D19*0.05*12</f>
        <v>120000</v>
      </c>
    </row>
    <row r="22" customFormat="false" ht="15" hidden="false" customHeight="false" outlineLevel="0" collapsed="false">
      <c r="A22" s="6" t="s">
        <v>105</v>
      </c>
      <c r="B22" s="7" t="n">
        <v>200</v>
      </c>
      <c r="C22" s="7" t="n">
        <v>1000</v>
      </c>
      <c r="D22" s="7" t="n">
        <v>5000</v>
      </c>
    </row>
    <row r="23" customFormat="false" ht="15" hidden="false" customHeight="false" outlineLevel="0" collapsed="false">
      <c r="A23" s="6" t="s">
        <v>106</v>
      </c>
      <c r="B23" s="15" t="n">
        <v>50</v>
      </c>
      <c r="C23" s="15" t="n">
        <v>80</v>
      </c>
      <c r="D23" s="15" t="n">
        <v>120</v>
      </c>
    </row>
    <row r="24" customFormat="false" ht="15" hidden="false" customHeight="false" outlineLevel="0" collapsed="false">
      <c r="A24" s="6" t="s">
        <v>107</v>
      </c>
      <c r="B24" s="28" t="n">
        <f aca="false">B22*B23*0.05*12</f>
        <v>6000</v>
      </c>
      <c r="C24" s="28" t="n">
        <f aca="false">C22*C23*0.05*12</f>
        <v>48000</v>
      </c>
      <c r="D24" s="28" t="n">
        <f aca="false">D22*D23*0.05*12</f>
        <v>360000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2026-04-02T14:18:54Z</dcterms:created>
  <dc:creator>openpyxl</dc:creator>
  <dc:description/>
  <dc:language>en-US</dc:language>
  <cp:lastModifiedBy/>
  <dcterms:modified xsi:type="dcterms:W3CDTF">2026-04-02T14:18:54Z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